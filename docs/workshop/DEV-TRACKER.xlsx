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velopment" sheetId="2" state="visible" r:id="rId2"/>
    <sheet xmlns:r="http://schemas.openxmlformats.org/officeDocument/2006/relationships" name="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8E011F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8E011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0" customWidth="1" min="3" max="3"/>
    <col width="10" customWidth="1" min="4" max="4"/>
    <col width="13" customWidth="1" min="5" max="5"/>
    <col width="8" customWidth="1" min="6" max="6"/>
    <col width="13" customWidth="1" min="7" max="7"/>
    <col width="13" customWidth="1" min="8" max="8"/>
  </cols>
  <sheetData>
    <row r="1">
      <c r="A1" s="1" t="inlineStr">
        <is>
          <t>HDI Workshop Studio — Dev Tracker</t>
        </is>
      </c>
    </row>
    <row r="2">
      <c r="A2" s="2" t="inlineStr">
        <is>
          <t>Companion to docs/workshop/PRD.md and ROADMAP.md. Update Status columns in Development and Testing sheets; this sheet computes itself.</t>
        </is>
      </c>
    </row>
    <row r="4">
      <c r="A4" s="3" t="inlineStr">
        <is>
          <t>Phase</t>
        </is>
      </c>
      <c r="B4" s="3" t="inlineStr">
        <is>
          <t>Name</t>
        </is>
      </c>
      <c r="C4" s="3" t="inlineStr">
        <is>
          <t>Dev tasks</t>
        </is>
      </c>
      <c r="D4" s="3" t="inlineStr">
        <is>
          <t>Dev done</t>
        </is>
      </c>
      <c r="E4" s="3" t="inlineStr">
        <is>
          <t>Dev progress</t>
        </is>
      </c>
      <c r="F4" s="3" t="inlineStr">
        <is>
          <t>Tests</t>
        </is>
      </c>
      <c r="G4" s="3" t="inlineStr">
        <is>
          <t>Tests passed</t>
        </is>
      </c>
      <c r="H4" s="3" t="inlineStr">
        <is>
          <t>Test progress</t>
        </is>
      </c>
    </row>
    <row r="5">
      <c r="A5" s="4" t="n">
        <v>1</v>
      </c>
      <c r="B5" s="4" t="inlineStr">
        <is>
          <t>Accounts, planner, idea bank</t>
        </is>
      </c>
      <c r="C5" s="4">
        <f>COUNTIF(Development!B:B,A5)</f>
        <v/>
      </c>
      <c r="D5" s="4">
        <f>COUNTIFS(Development!B:B,A5,Development!F:F,"Done")</f>
        <v/>
      </c>
      <c r="E5" s="5">
        <f>IF(C5=0,0,D5/C5)</f>
        <v/>
      </c>
      <c r="F5" s="4">
        <f>COUNTIF(Testing!B:B,A5)</f>
        <v/>
      </c>
      <c r="G5" s="4">
        <f>COUNTIFS(Testing!B:B,A5,Testing!F:F,"Pass")</f>
        <v/>
      </c>
      <c r="H5" s="5">
        <f>IF(F5=0,0,G5/F5)</f>
        <v/>
      </c>
    </row>
    <row r="6">
      <c r="A6" s="4" t="n">
        <v>2</v>
      </c>
      <c r="B6" s="4" t="inlineStr">
        <is>
          <t>Templates, renderer, player, print</t>
        </is>
      </c>
      <c r="C6" s="4">
        <f>COUNTIF(Development!B:B,A6)</f>
        <v/>
      </c>
      <c r="D6" s="4">
        <f>COUNTIFS(Development!B:B,A6,Development!F:F,"Done")</f>
        <v/>
      </c>
      <c r="E6" s="5">
        <f>IF(C6=0,0,D6/C6)</f>
        <v/>
      </c>
      <c r="F6" s="4">
        <f>COUNTIF(Testing!B:B,A6)</f>
        <v/>
      </c>
      <c r="G6" s="4">
        <f>COUNTIFS(Testing!B:B,A6,Testing!F:F,"Pass")</f>
        <v/>
      </c>
      <c r="H6" s="5">
        <f>IF(F6=0,0,G6/F6)</f>
        <v/>
      </c>
    </row>
    <row r="7">
      <c r="A7" s="4" t="n">
        <v>3</v>
      </c>
      <c r="B7" s="4" t="inlineStr">
        <is>
          <t>AI generation</t>
        </is>
      </c>
      <c r="C7" s="4">
        <f>COUNTIF(Development!B:B,A7)</f>
        <v/>
      </c>
      <c r="D7" s="4">
        <f>COUNTIFS(Development!B:B,A7,Development!F:F,"Done")</f>
        <v/>
      </c>
      <c r="E7" s="5">
        <f>IF(C7=0,0,D7/C7)</f>
        <v/>
      </c>
      <c r="F7" s="4">
        <f>COUNTIF(Testing!B:B,A7)</f>
        <v/>
      </c>
      <c r="G7" s="4">
        <f>COUNTIFS(Testing!B:B,A7,Testing!F:F,"Pass")</f>
        <v/>
      </c>
      <c r="H7" s="5">
        <f>IF(F7=0,0,G7/F7)</f>
        <v/>
      </c>
    </row>
    <row r="8">
      <c r="A8" s="4" t="n">
        <v>4</v>
      </c>
      <c r="B8" s="4" t="inlineStr">
        <is>
          <t>Participant interaction</t>
        </is>
      </c>
      <c r="C8" s="4">
        <f>COUNTIF(Development!B:B,A8)</f>
        <v/>
      </c>
      <c r="D8" s="4">
        <f>COUNTIFS(Development!B:B,A8,Development!F:F,"Done")</f>
        <v/>
      </c>
      <c r="E8" s="5">
        <f>IF(C8=0,0,D8/C8)</f>
        <v/>
      </c>
      <c r="F8" s="4">
        <f>COUNTIF(Testing!B:B,A8)</f>
        <v/>
      </c>
      <c r="G8" s="4">
        <f>COUNTIFS(Testing!B:B,A8,Testing!F:F,"Pass")</f>
        <v/>
      </c>
      <c r="H8" s="5">
        <f>IF(F8=0,0,G8/F8)</f>
        <v/>
      </c>
    </row>
    <row r="9">
      <c r="A9" s="4" t="n">
        <v>5</v>
      </c>
      <c r="B9" s="4" t="inlineStr">
        <is>
          <t>Polish (optional)</t>
        </is>
      </c>
      <c r="C9" s="4">
        <f>COUNTIF(Development!B:B,A9)</f>
        <v/>
      </c>
      <c r="D9" s="4">
        <f>COUNTIFS(Development!B:B,A9,Development!F:F,"Done")</f>
        <v/>
      </c>
      <c r="E9" s="5">
        <f>IF(C9=0,0,D9/C9)</f>
        <v/>
      </c>
      <c r="F9" s="4">
        <f>COUNTIF(Testing!B:B,A9)</f>
        <v/>
      </c>
      <c r="G9" s="4">
        <f>COUNTIFS(Testing!B:B,A9,Testing!F:F,"Pass")</f>
        <v/>
      </c>
      <c r="H9" s="5">
        <f>IF(F9=0,0,G9/F9)</f>
        <v/>
      </c>
    </row>
    <row r="10">
      <c r="B10" s="6" t="inlineStr">
        <is>
          <t>TOTAL</t>
        </is>
      </c>
      <c r="C10" s="6">
        <f>SUM(C5:C9)</f>
        <v/>
      </c>
      <c r="D10" s="6">
        <f>SUM(D5:D9)</f>
        <v/>
      </c>
      <c r="E10" s="7">
        <f>IF(C10=0,0,D10/C10)</f>
        <v/>
      </c>
      <c r="F10" s="6">
        <f>SUM(F5:F9)</f>
        <v/>
      </c>
      <c r="G10" s="6">
        <f>SUM(G5:G9)</f>
        <v/>
      </c>
      <c r="H10" s="7">
        <f>IF(F10=0,0,G10/F10)</f>
        <v/>
      </c>
    </row>
    <row r="12">
      <c r="A12" s="2" t="inlineStr">
        <is>
          <t>Note: Phase 5 test cases are defined when each polish task is scheduled (see ROADMAP.md).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38" customWidth="1" min="3" max="3"/>
    <col width="42" customWidth="1" min="4" max="4"/>
    <col width="12" customWidth="1" min="5" max="5"/>
    <col width="13" customWidth="1" min="6" max="6"/>
    <col width="70" customWidth="1" min="7" max="7"/>
  </cols>
  <sheetData>
    <row r="1">
      <c r="A1" s="3" t="inlineStr">
        <is>
          <t>ID</t>
        </is>
      </c>
      <c r="B1" s="3" t="inlineStr">
        <is>
          <t>Phase</t>
        </is>
      </c>
      <c r="C1" s="3" t="inlineStr">
        <is>
          <t>Task</t>
        </is>
      </c>
      <c r="D1" s="3" t="inlineStr">
        <is>
          <t>File(s)</t>
        </is>
      </c>
      <c r="E1" s="3" t="inlineStr">
        <is>
          <t>Depends on</t>
        </is>
      </c>
      <c r="F1" s="3" t="inlineStr">
        <is>
          <t>Status</t>
        </is>
      </c>
      <c r="G1" s="3" t="inlineStr">
        <is>
          <t>Notes</t>
        </is>
      </c>
    </row>
    <row r="2">
      <c r="A2" s="8" t="inlineStr">
        <is>
          <t>D1.1</t>
        </is>
      </c>
      <c r="B2" s="8" t="n">
        <v>1</v>
      </c>
      <c r="C2" s="8" t="inlineStr">
        <is>
          <t>Router with auth + blob sync</t>
        </is>
      </c>
      <c r="D2" s="8" t="inlineStr">
        <is>
          <t>tools/workshop.js</t>
        </is>
      </c>
      <c r="E2" s="8" t="inlineStr">
        <is>
          <t>—</t>
        </is>
      </c>
      <c r="F2" s="8" t="inlineStr">
        <is>
          <t>Not started</t>
        </is>
      </c>
      <c r="G2" s="8" t="inlineStr">
        <is>
          <t>Copy tools/poker.js: users/user_data/user_snapshots schema, requireAuth, signup/login (bcrypt 12), rev'd GET/PUT /data with 409+authoritative state, snapshots</t>
        </is>
      </c>
    </row>
    <row r="3">
      <c r="A3" s="9" t="inlineStr">
        <is>
          <t>D1.2</t>
        </is>
      </c>
      <c r="B3" s="9" t="n">
        <v>1</v>
      </c>
      <c r="C3" s="9" t="inlineStr">
        <is>
          <t>Frontend scaffold + brand chrome</t>
        </is>
      </c>
      <c r="D3" s="9" t="inlineStr">
        <is>
          <t>static/workshop/index.html, styles.css, src/api.js</t>
        </is>
      </c>
      <c r="E3" s="9" t="inlineStr">
        <is>
          <t>D1.1</t>
        </is>
      </c>
      <c r="F3" s="9" t="inlineStr">
        <is>
          <t>Not started</t>
        </is>
      </c>
      <c r="G3" s="9" t="inlineStr">
        <is>
          <t>Hash-route SPA shell; HDI brand vars (#BD0129/#8E011F/#51000C), Merriweather + Be Vietnam Pro, logo asset</t>
        </is>
      </c>
    </row>
    <row r="4">
      <c r="A4" s="8" t="inlineStr">
        <is>
          <t>D1.3</t>
        </is>
      </c>
      <c r="B4" s="8" t="n">
        <v>1</v>
      </c>
      <c r="C4" s="8" t="inlineStr">
        <is>
          <t>Sync store (DataProvider port)</t>
        </is>
      </c>
      <c r="D4" s="8" t="inlineStr">
        <is>
          <t>static/workshop/src/store.js</t>
        </is>
      </c>
      <c r="E4" s="8" t="inlineStr">
        <is>
          <t>D1.1</t>
        </is>
      </c>
      <c r="F4" s="8" t="inlineStr">
        <is>
          <t>Not started</t>
        </is>
      </c>
      <c r="G4" s="8" t="inlineStr">
        <is>
          <t>Vanilla port of hdpg-poker.html DataProvider (~lines 3186-3330): 800ms debounce, pagehide flush, adopt-server-on-409</t>
        </is>
      </c>
    </row>
    <row r="5">
      <c r="A5" s="9" t="inlineStr">
        <is>
          <t>D1.4</t>
        </is>
      </c>
      <c r="B5" s="9" t="n">
        <v>1</v>
      </c>
      <c r="C5" s="9" t="inlineStr">
        <is>
          <t>Auth screens</t>
        </is>
      </c>
      <c r="D5" s="9" t="inlineStr">
        <is>
          <t>static/workshop/src/planner.js</t>
        </is>
      </c>
      <c r="E5" s="9" t="inlineStr">
        <is>
          <t>D1.2</t>
        </is>
      </c>
      <c r="F5" s="9" t="inlineStr">
        <is>
          <t>Not started</t>
        </is>
      </c>
      <c r="G5" s="9" t="inlineStr">
        <is>
          <t>Login/signup forms; JWT in localStorage</t>
        </is>
      </c>
    </row>
    <row r="6">
      <c r="A6" s="8" t="inlineStr">
        <is>
          <t>D1.5</t>
        </is>
      </c>
      <c r="B6" s="8" t="n">
        <v>1</v>
      </c>
      <c r="C6" s="8" t="inlineStr">
        <is>
          <t>Seeds module + merge</t>
        </is>
      </c>
      <c r="D6" s="8" t="inlineStr">
        <is>
          <t>static/workshop/src/seeds.js</t>
        </is>
      </c>
      <c r="E6" s="8" t="inlineStr">
        <is>
          <t>D1.3</t>
        </is>
      </c>
      <c r="F6" s="8" t="inlineStr">
        <is>
          <t>Not started</t>
        </is>
      </c>
      <c r="G6" s="8" t="inlineStr">
        <is>
          <t>planItemTypes (FR-2.5), ideaBank (PRD App. A, ~34 entries), interactionTemplates (App. C), seedVersion merge</t>
        </is>
      </c>
    </row>
    <row r="7">
      <c r="A7" s="9" t="inlineStr">
        <is>
          <t>D1.6</t>
        </is>
      </c>
      <c r="B7" s="9" t="n">
        <v>1</v>
      </c>
      <c r="C7" s="9" t="inlineStr">
        <is>
          <t>Dashboard + DEFINE block</t>
        </is>
      </c>
      <c r="D7" s="9" t="inlineStr">
        <is>
          <t>static/workshop/src/planner.js</t>
        </is>
      </c>
      <c r="E7" s="9" t="inlineStr">
        <is>
          <t>D1.4</t>
        </is>
      </c>
      <c r="F7" s="9" t="inlineStr">
        <is>
          <t>Not started</t>
        </is>
      </c>
      <c r="G7" s="9" t="inlineStr">
        <is>
          <t>Workshop cards, create/duplicate/delete (snapshot first), DEFINE form (FR-1.1)</t>
        </is>
      </c>
    </row>
    <row r="8">
      <c r="A8" s="8" t="inlineStr">
        <is>
          <t>D1.7</t>
        </is>
      </c>
      <c r="B8" s="8" t="n">
        <v>1</v>
      </c>
      <c r="C8" s="8" t="inlineStr">
        <is>
          <t>Run-sheet</t>
        </is>
      </c>
      <c r="D8" s="8" t="inlineStr">
        <is>
          <t>static/workshop/src/planner.js</t>
        </is>
      </c>
      <c r="E8" s="8" t="inlineStr">
        <is>
          <t>D1.6</t>
        </is>
      </c>
      <c r="F8" s="8" t="inlineStr">
        <is>
          <t>Not started</t>
        </is>
      </c>
      <c r="G8" s="8" t="inlineStr">
        <is>
          <t>Sections, type badges, inline edit, item detail panel, HTML5 drag reorder, live timing math (FR-2.3)</t>
        </is>
      </c>
    </row>
    <row r="9">
      <c r="A9" s="9" t="inlineStr">
        <is>
          <t>D1.8</t>
        </is>
      </c>
      <c r="B9" s="9" t="n">
        <v>1</v>
      </c>
      <c r="C9" s="9" t="inlineStr">
        <is>
          <t>Item type manager</t>
        </is>
      </c>
      <c r="D9" s="9" t="inlineStr">
        <is>
          <t>static/workshop/src/planner.js</t>
        </is>
      </c>
      <c r="E9" s="9" t="inlineStr">
        <is>
          <t>D1.7</t>
        </is>
      </c>
      <c r="F9" s="9" t="inlineStr">
        <is>
          <t>Not started</t>
        </is>
      </c>
      <c r="G9" s="9" t="inlineStr">
        <is>
          <t>CRUD taxonomy: name, category S/A/structural, color</t>
        </is>
      </c>
    </row>
    <row r="10">
      <c r="A10" s="8" t="inlineStr">
        <is>
          <t>D1.9</t>
        </is>
      </c>
      <c r="B10" s="8" t="n">
        <v>1</v>
      </c>
      <c r="C10" s="8" t="inlineStr">
        <is>
          <t>Idea bank UI</t>
        </is>
      </c>
      <c r="D10" s="8" t="inlineStr">
        <is>
          <t>static/workshop/src/planner.js</t>
        </is>
      </c>
      <c r="E10" s="8" t="inlineStr">
        <is>
          <t>D1.5</t>
        </is>
      </c>
      <c r="F10" s="8" t="inlineStr">
        <is>
          <t>Not started</t>
        </is>
      </c>
      <c r="G10" s="8" t="inlineStr">
        <is>
          <t>Browse/search/filter, CRUD+duplicate, add-to-plan (copy, keeps bankRef), save-to-bank</t>
        </is>
      </c>
    </row>
    <row r="11">
      <c r="A11" s="9" t="inlineStr">
        <is>
          <t>D1.10</t>
        </is>
      </c>
      <c r="B11" s="9" t="n">
        <v>1</v>
      </c>
      <c r="C11" s="9" t="inlineStr">
        <is>
          <t>Homepage card</t>
        </is>
      </c>
      <c r="D11" s="9" t="inlineStr">
        <is>
          <t>static/index.html</t>
        </is>
      </c>
      <c r="E11" s="9" t="inlineStr">
        <is>
          <t>D1.2</t>
        </is>
      </c>
      <c r="F11" s="9" t="inlineStr">
        <is>
          <t>Not started</t>
        </is>
      </c>
      <c r="G11" s="9" t="inlineStr">
        <is>
          <t>Card linking to /workshop/, existing card markup</t>
        </is>
      </c>
    </row>
    <row r="12">
      <c r="A12" s="8" t="inlineStr">
        <is>
          <t>D2.1</t>
        </is>
      </c>
      <c r="B12" s="8" t="n">
        <v>2</v>
      </c>
      <c r="C12" s="8" t="inlineStr">
        <is>
          <t>Renderer</t>
        </is>
      </c>
      <c r="D12" s="8" t="inlineStr">
        <is>
          <t>static/workshop/src/renderer.js</t>
        </is>
      </c>
      <c r="E12" s="8" t="inlineStr">
        <is>
          <t>D1.5</t>
        </is>
      </c>
      <c r="F12" s="8" t="inlineStr">
        <is>
          <t>Not started</t>
        </is>
      </c>
      <c r="G12" s="8" t="inlineStr">
        <is>
          <t>PRD §4.4 pipeline: {{key}} substitution, marked (esm.sh) for markdown, data-list, computed context, data-step(+auto), CSS scoping, JS hook loader</t>
        </is>
      </c>
    </row>
    <row r="13">
      <c r="A13" s="9" t="inlineStr">
        <is>
          <t>D2.2</t>
        </is>
      </c>
      <c r="B13" s="9" t="n">
        <v>2</v>
      </c>
      <c r="C13" s="9" t="inlineStr">
        <is>
          <t>Built-in slide templates (13)</t>
        </is>
      </c>
      <c r="D13" s="9" t="inlineStr">
        <is>
          <t>static/workshop/src/seeds.js</t>
        </is>
      </c>
      <c r="E13" s="9" t="inlineStr">
        <is>
          <t>D2.1</t>
        </is>
      </c>
      <c r="F13" s="9" t="inlineStr">
        <is>
          <t>Not started</t>
        </is>
      </c>
      <c r="G13" s="9" t="inlineStr">
        <is>
          <t>PRD App. B #1-11 and #18; hand-authored + previewed</t>
        </is>
      </c>
    </row>
    <row r="14">
      <c r="A14" s="8" t="inlineStr">
        <is>
          <t>D2.3</t>
        </is>
      </c>
      <c r="B14" s="8" t="n">
        <v>2</v>
      </c>
      <c r="C14" s="8" t="inlineStr">
        <is>
          <t>Renderer contract doc</t>
        </is>
      </c>
      <c r="D14" s="8" t="inlineStr">
        <is>
          <t>docs/workshop/renderer-contract.md</t>
        </is>
      </c>
      <c r="E14" s="8" t="inlineStr">
        <is>
          <t>D2.1</t>
        </is>
      </c>
      <c r="F14" s="8" t="inlineStr">
        <is>
          <t>Not started</t>
        </is>
      </c>
      <c r="G14" s="8" t="inlineStr">
        <is>
          <t>Written alongside D2.1; becomes the Phase 3 prompt verbatim</t>
        </is>
      </c>
    </row>
    <row r="15">
      <c r="A15" s="9" t="inlineStr">
        <is>
          <t>D2.4</t>
        </is>
      </c>
      <c r="B15" s="9" t="n">
        <v>2</v>
      </c>
      <c r="C15" s="9" t="inlineStr">
        <is>
          <t>Slide CRUD + attachment flow</t>
        </is>
      </c>
      <c r="D15" s="9" t="inlineStr">
        <is>
          <t>static/workshop/src/editor.js</t>
        </is>
      </c>
      <c r="E15" s="9" t="inlineStr">
        <is>
          <t>D2.1</t>
        </is>
      </c>
      <c r="F15" s="9" t="inlineStr">
        <is>
          <t>Not started</t>
        </is>
      </c>
      <c r="G15" s="9" t="inlineStr">
        <is>
          <t>Rail grouped by plan item; create requires attach-or-create-item (FR-5.1); delete item prompts delete/re-attach</t>
        </is>
      </c>
    </row>
    <row r="16">
      <c r="A16" s="8" t="inlineStr">
        <is>
          <t>D2.5</t>
        </is>
      </c>
      <c r="B16" s="8" t="n">
        <v>2</v>
      </c>
      <c r="C16" s="8" t="inlineStr">
        <is>
          <t>Field-form editor + preview</t>
        </is>
      </c>
      <c r="D16" s="8" t="inlineStr">
        <is>
          <t>static/workshop/src/editor.js</t>
        </is>
      </c>
      <c r="E16" s="8" t="inlineStr">
        <is>
          <t>D2.4</t>
        </is>
      </c>
      <c r="F16" s="8" t="inlineStr">
        <is>
          <t>Not started</t>
        </is>
      </c>
      <c r="G16" s="8" t="inlineStr">
        <is>
          <t>Schema-driven forms (text/markdown/number/select/image/list), live preview, speaker notes</t>
        </is>
      </c>
    </row>
    <row r="17">
      <c r="A17" s="9" t="inlineStr">
        <is>
          <t>D2.6</t>
        </is>
      </c>
      <c r="B17" s="9" t="n">
        <v>2</v>
      </c>
      <c r="C17" s="9" t="inlineStr">
        <is>
          <t>Template manager</t>
        </is>
      </c>
      <c r="D17" s="9" t="inlineStr">
        <is>
          <t>static/workshop/src/templates.js</t>
        </is>
      </c>
      <c r="E17" s="9" t="inlineStr">
        <is>
          <t>D2.2</t>
        </is>
      </c>
      <c r="F17" s="9" t="inlineStr">
        <is>
          <t>Not started</t>
        </is>
      </c>
      <c r="G17" s="9" t="inlineStr">
        <is>
          <t>Schema builder + HTML/CSS/JS tabs (CodeMirror 6 lazy, textarea fallback) + preview; edits re-render dependent slides</t>
        </is>
      </c>
    </row>
    <row r="18">
      <c r="A18" s="8" t="inlineStr">
        <is>
          <t>D2.7</t>
        </is>
      </c>
      <c r="B18" s="8" t="n">
        <v>2</v>
      </c>
      <c r="C18" s="8" t="inlineStr">
        <is>
          <t>Deck player — present mode</t>
        </is>
      </c>
      <c r="D18" s="8" t="inlineStr">
        <is>
          <t>static/workshop/present.html, src/player.js</t>
        </is>
      </c>
      <c r="E18" s="8" t="inlineStr">
        <is>
          <t>D2.2</t>
        </is>
      </c>
      <c r="F18" s="8" t="inlineStr">
        <is>
          <t>Not started</t>
        </is>
      </c>
      <c r="G18" s="8" t="inlineStr">
        <is>
          <t>Deck=flatten(items→slides), keyboard nav, deterministic steps, item countdown + overrun, schedule bar, notes drawer, overview grid</t>
        </is>
      </c>
    </row>
    <row r="19">
      <c r="A19" s="9" t="inlineStr">
        <is>
          <t>D2.8</t>
        </is>
      </c>
      <c r="B19" s="9" t="n">
        <v>2</v>
      </c>
      <c r="C19" s="9" t="inlineStr">
        <is>
          <t>Read/print mode</t>
        </is>
      </c>
      <c r="D19" s="9" t="inlineStr">
        <is>
          <t>static/workshop/src/player.js, styles.css</t>
        </is>
      </c>
      <c r="E19" s="9" t="inlineStr">
        <is>
          <t>D2.7</t>
        </is>
      </c>
      <c r="F19" s="9" t="inlineStr">
        <is>
          <t>Not started</t>
        </is>
      </c>
      <c r="G19" s="9" t="inlineStr">
        <is>
          <t>?mode=read: linear, headings, all steps expanded, print CSS (page/slide, footer), R toggle</t>
        </is>
      </c>
    </row>
    <row r="20">
      <c r="A20" s="8" t="inlineStr">
        <is>
          <t>D3.1</t>
        </is>
      </c>
      <c r="B20" s="8" t="n">
        <v>3</v>
      </c>
      <c r="C20" s="8" t="inlineStr">
        <is>
          <t>Anthropic SDK + config</t>
        </is>
      </c>
      <c r="D20" s="8" t="inlineStr">
        <is>
          <t>package.json, tools/workshop.js</t>
        </is>
      </c>
      <c r="E20" s="8" t="inlineStr">
        <is>
          <t>D2.3</t>
        </is>
      </c>
      <c r="F20" s="8" t="inlineStr">
        <is>
          <t>Not started</t>
        </is>
      </c>
      <c r="G20" s="8" t="inlineStr">
        <is>
          <t>npm i @anthropic-ai/sdk; ANTHROPIC_API_KEY (fly secrets); model const claude-sonnet-5; no temperature; 503 when key missing</t>
        </is>
      </c>
    </row>
    <row r="21">
      <c r="A21" s="9" t="inlineStr">
        <is>
          <t>D3.2</t>
        </is>
      </c>
      <c r="B21" s="9" t="n">
        <v>3</v>
      </c>
      <c r="C21" s="9" t="inlineStr">
        <is>
          <t>POST /generate-slides</t>
        </is>
      </c>
      <c r="D21" s="9" t="inlineStr">
        <is>
          <t>tools/workshop.js</t>
        </is>
      </c>
      <c r="E21" s="9" t="inlineStr">
        <is>
          <t>D3.1</t>
        </is>
      </c>
      <c r="F21" s="9" t="inlineStr">
        <is>
          <t>Not started</t>
        </is>
      </c>
      <c r="G21" s="9" t="inlineStr">
        <is>
          <t>Cached stable prefix (renderer-contract + brand), schema validation + 1 retry, ai_generations log, daily cap 100 → 429</t>
        </is>
      </c>
    </row>
    <row r="22">
      <c r="A22" s="8" t="inlineStr">
        <is>
          <t>D3.3</t>
        </is>
      </c>
      <c r="B22" s="8" t="n">
        <v>3</v>
      </c>
      <c r="C22" s="8" t="inlineStr">
        <is>
          <t>POST /generate-template</t>
        </is>
      </c>
      <c r="D22" s="8" t="inlineStr">
        <is>
          <t>tools/workshop.js</t>
        </is>
      </c>
      <c r="E22" s="8" t="inlineStr">
        <is>
          <t>D3.1</t>
        </is>
      </c>
      <c r="F22" s="8" t="inlineStr">
        <is>
          <t>Not started</t>
        </is>
      </c>
      <c r="G22" s="8" t="inlineStr">
        <is>
          <t>Description → template JSON, shape-validated; human previews before save</t>
        </is>
      </c>
    </row>
    <row r="23">
      <c r="A23" s="9" t="inlineStr">
        <is>
          <t>D3.4</t>
        </is>
      </c>
      <c r="B23" s="9" t="n">
        <v>3</v>
      </c>
      <c r="C23" s="9" t="inlineStr">
        <is>
          <t>Generation dialog</t>
        </is>
      </c>
      <c r="D23" s="9" t="inlineStr">
        <is>
          <t>static/workshop/src/editor.js</t>
        </is>
      </c>
      <c r="E23" s="9" t="inlineStr">
        <is>
          <t>D3.2</t>
        </is>
      </c>
      <c r="F23" s="9" t="inlineStr">
        <is>
          <t>Not started</t>
        </is>
      </c>
      <c r="G23" s="9" t="inlineStr">
        <is>
          <t>Per item: count + template per slide + instruction → review list, accept/regenerate/discard per slide</t>
        </is>
      </c>
    </row>
    <row r="24">
      <c r="A24" s="8" t="inlineStr">
        <is>
          <t>D3.5</t>
        </is>
      </c>
      <c r="B24" s="8" t="n">
        <v>3</v>
      </c>
      <c r="C24" s="8" t="inlineStr">
        <is>
          <t>Edit-via-prompt</t>
        </is>
      </c>
      <c r="D24" s="8" t="inlineStr">
        <is>
          <t>static/workshop/src/editor.js</t>
        </is>
      </c>
      <c r="E24" s="8" t="inlineStr">
        <is>
          <t>D3.2</t>
        </is>
      </c>
      <c r="F24" s="8" t="inlineStr">
        <is>
          <t>Not started</t>
        </is>
      </c>
      <c r="G24" s="8" t="inlineStr">
        <is>
          <t>Instruction + current fields → revised fields; before/after preview; apply/discard</t>
        </is>
      </c>
    </row>
    <row r="25">
      <c r="A25" s="9" t="inlineStr">
        <is>
          <t>D3.6</t>
        </is>
      </c>
      <c r="B25" s="9" t="n">
        <v>3</v>
      </c>
      <c r="C25" s="9" t="inlineStr">
        <is>
          <t>Template generation UI + usage display</t>
        </is>
      </c>
      <c r="D25" s="9" t="inlineStr">
        <is>
          <t>static/workshop/src/templates.js</t>
        </is>
      </c>
      <c r="E25" s="9" t="inlineStr">
        <is>
          <t>D3.3</t>
        </is>
      </c>
      <c r="F25" s="9" t="inlineStr">
        <is>
          <t>Not started</t>
        </is>
      </c>
      <c r="G25" s="9" t="inlineStr">
        <is>
          <t>AI draft opens in editor unsaved; GET /usage: month spend estimate + today count</t>
        </is>
      </c>
    </row>
    <row r="26">
      <c r="A26" s="8" t="inlineStr">
        <is>
          <t>D4.1</t>
        </is>
      </c>
      <c r="B26" s="8" t="n">
        <v>4</v>
      </c>
      <c r="C26" s="8" t="inlineStr">
        <is>
          <t>Session tables + endpoints</t>
        </is>
      </c>
      <c r="D26" s="8" t="inlineStr">
        <is>
          <t>tools/workshop.js</t>
        </is>
      </c>
      <c r="E26" s="8" t="inlineStr">
        <is>
          <t>D2.1</t>
        </is>
      </c>
      <c r="F26" s="8" t="inlineStr">
        <is>
          <t>Not started</t>
        </is>
      </c>
      <c r="G26" s="8" t="inlineStr">
        <is>
          <t>live_sessions/responses DDL (PRD §4.2), endpoints (§4.3), snapshot publish, payload validation + size caps + rate limit, unambiguous code alphabet</t>
        </is>
      </c>
    </row>
    <row r="27">
      <c r="A27" s="9" t="inlineStr">
        <is>
          <t>D4.2</t>
        </is>
      </c>
      <c r="B27" s="9" t="n">
        <v>4</v>
      </c>
      <c r="C27" s="9" t="inlineStr">
        <is>
          <t>Participant page</t>
        </is>
      </c>
      <c r="D27" s="9" t="inlineStr">
        <is>
          <t>static/workshop/join.html, src/participant.js</t>
        </is>
      </c>
      <c r="E27" s="9" t="inlineStr">
        <is>
          <t>D4.1</t>
        </is>
      </c>
      <c r="F27" s="9" t="inlineStr">
        <is>
          <t>Not started</t>
        </is>
      </c>
      <c r="G27" s="9" t="inlineStr">
        <is>
          <t>Mobile-first, ?c=CODE, localStorage participant id, 2s poll, native inputs for 4 kinds, waiting/ended states</t>
        </is>
      </c>
    </row>
    <row r="28">
      <c r="A28" s="8" t="inlineStr">
        <is>
          <t>D4.3</t>
        </is>
      </c>
      <c r="B28" s="8" t="n">
        <v>4</v>
      </c>
      <c r="C28" s="8" t="inlineStr">
        <is>
          <t>Interactive slide templates</t>
        </is>
      </c>
      <c r="D28" s="8" t="inlineStr">
        <is>
          <t>static/workshop/src/seeds.js, renderer.js</t>
        </is>
      </c>
      <c r="E28" s="8" t="inlineStr">
        <is>
          <t>D4.1</t>
        </is>
      </c>
      <c r="F28" s="8" t="inlineStr">
        <is>
          <t>Not started</t>
        </is>
      </c>
      <c r="G28" s="8" t="inlineStr">
        <is>
          <t>App. B #12-17 with onResults: bars, word cloud, avg+distribution, dot overlay, cards; interaction field type in editor</t>
        </is>
      </c>
    </row>
    <row r="29">
      <c r="A29" s="9" t="inlineStr">
        <is>
          <t>D4.4</t>
        </is>
      </c>
      <c r="B29" s="9" t="n">
        <v>4</v>
      </c>
      <c r="C29" s="9" t="inlineStr">
        <is>
          <t>Player session controls</t>
        </is>
      </c>
      <c r="D29" s="9" t="inlineStr">
        <is>
          <t>static/workshop/src/player.js</t>
        </is>
      </c>
      <c r="E29" s="9" t="inlineStr">
        <is>
          <t>D4.2, D4.3</t>
        </is>
      </c>
      <c r="F29" s="9" t="inlineStr">
        <is>
          <t>Not started</t>
        </is>
      </c>
      <c r="G29" s="9" t="inlineStr">
        <is>
          <t>Start/end session, QR + code badge, activate on interactive slides, results polling → onResults, quiz reveal step</t>
        </is>
      </c>
    </row>
    <row r="30">
      <c r="A30" s="8" t="inlineStr">
        <is>
          <t>D4.5</t>
        </is>
      </c>
      <c r="B30" s="8" t="n">
        <v>4</v>
      </c>
      <c r="C30" s="8" t="inlineStr">
        <is>
          <t>Load-test script</t>
        </is>
      </c>
      <c r="D30" s="8" t="inlineStr">
        <is>
          <t>scripts/workshop-participant-sim.js</t>
        </is>
      </c>
      <c r="E30" s="8" t="inlineStr">
        <is>
          <t>D4.2</t>
        </is>
      </c>
      <c r="F30" s="8" t="inlineStr">
        <is>
          <t>Not started</t>
        </is>
      </c>
      <c r="G30" s="8" t="inlineStr">
        <is>
          <t>N simulated participants (default 30) join + respond; assert 2xx + final counts</t>
        </is>
      </c>
    </row>
    <row r="31">
      <c r="A31" s="9" t="inlineStr">
        <is>
          <t>D5.1</t>
        </is>
      </c>
      <c r="B31" s="9" t="n">
        <v>5</v>
      </c>
      <c r="C31" s="9" t="inlineStr">
        <is>
          <t>custom-html escape hatch</t>
        </is>
      </c>
      <c r="D31" s="9" t="inlineStr">
        <is>
          <t>seeds.js, renderer.js</t>
        </is>
      </c>
      <c r="E31" s="9" t="inlineStr">
        <is>
          <t>D2.1</t>
        </is>
      </c>
      <c r="F31" s="9" t="inlineStr">
        <is>
          <t>Not started</t>
        </is>
      </c>
      <c r="G31" s="9" t="inlineStr">
        <is>
          <t>Sandboxed iframe (allow-scripts), mode/step via postMessage</t>
        </is>
      </c>
    </row>
    <row r="32">
      <c r="A32" s="8" t="inlineStr">
        <is>
          <t>D5.2</t>
        </is>
      </c>
      <c r="B32" s="8" t="n">
        <v>5</v>
      </c>
      <c r="C32" s="8" t="inlineStr">
        <is>
          <t>CSV export of session responses</t>
        </is>
      </c>
      <c r="D32" s="8" t="inlineStr">
        <is>
          <t>tools/workshop.js</t>
        </is>
      </c>
      <c r="E32" s="8" t="inlineStr">
        <is>
          <t>D4.1</t>
        </is>
      </c>
      <c r="F32" s="8" t="inlineStr">
        <is>
          <t>Not started</t>
        </is>
      </c>
      <c r="G32" s="8" t="inlineStr">
        <is>
          <t>GET /sessions/:code/export (auth) → CSV; addresses R7</t>
        </is>
      </c>
    </row>
    <row r="33">
      <c r="A33" s="9" t="inlineStr">
        <is>
          <t>D5.3</t>
        </is>
      </c>
      <c r="B33" s="9" t="n">
        <v>5</v>
      </c>
      <c r="C33" s="9" t="inlineStr">
        <is>
          <t>Workshop JSON export/import</t>
        </is>
      </c>
      <c r="D33" s="9" t="inlineStr">
        <is>
          <t>static/workshop/src/planner.js</t>
        </is>
      </c>
      <c r="E33" s="9" t="inlineStr">
        <is>
          <t>D1.7</t>
        </is>
      </c>
      <c r="F33" s="9" t="inlineStr">
        <is>
          <t>Not started</t>
        </is>
      </c>
      <c r="G33" s="9" t="inlineStr">
        <is>
          <t>Blob-slice download/upload; systems-explorer downloadJson pattern</t>
        </is>
      </c>
    </row>
    <row r="34">
      <c r="A34" s="8" t="inlineStr">
        <is>
          <t>D5.4</t>
        </is>
      </c>
      <c r="B34" s="8" t="n">
        <v>5</v>
      </c>
      <c r="C34" s="8" t="inlineStr">
        <is>
          <t>Paste-from-Sheets import</t>
        </is>
      </c>
      <c r="D34" s="8" t="inlineStr">
        <is>
          <t>static/workshop/src/planner.js</t>
        </is>
      </c>
      <c r="E34" s="8" t="inlineStr">
        <is>
          <t>D1.7</t>
        </is>
      </c>
      <c r="F34" s="8" t="inlineStr">
        <is>
          <t>Not started</t>
        </is>
      </c>
      <c r="G34" s="8" t="inlineStr">
        <is>
          <t>Paste TSV (Topic/Key Ideas/Time/Type) → parsed items with type-mapping preview</t>
        </is>
      </c>
    </row>
    <row r="35">
      <c r="A35" s="9" t="inlineStr">
        <is>
          <t>D5.5</t>
        </is>
      </c>
      <c r="B35" s="9" t="n">
        <v>5</v>
      </c>
      <c r="C35" s="9" t="inlineStr">
        <is>
          <t>/j/:code short URL</t>
        </is>
      </c>
      <c r="D35" s="9" t="inlineStr">
        <is>
          <t>server.js</t>
        </is>
      </c>
      <c r="E35" s="9" t="inlineStr">
        <is>
          <t>D4.1</t>
        </is>
      </c>
      <c r="F35" s="9" t="inlineStr">
        <is>
          <t>Not started</t>
        </is>
      </c>
      <c r="G35" s="9" t="inlineStr">
        <is>
          <t>One redirect line</t>
        </is>
      </c>
    </row>
    <row r="36">
      <c r="A36" s="8" t="inlineStr">
        <is>
          <t>D5.6</t>
        </is>
      </c>
      <c r="B36" s="8" t="n">
        <v>5</v>
      </c>
      <c r="C36" s="8" t="inlineStr">
        <is>
          <t>Snapshot restore UI</t>
        </is>
      </c>
      <c r="D36" s="8" t="inlineStr">
        <is>
          <t>static/workshop/src/planner.js</t>
        </is>
      </c>
      <c r="E36" s="8" t="inlineStr">
        <is>
          <t>D1.3</t>
        </is>
      </c>
      <c r="F36" s="8" t="inlineStr">
        <is>
          <t>Not started</t>
        </is>
      </c>
      <c r="G36" s="8" t="inlineStr">
        <is>
          <t>Browse/restore user_snapshots (endpoints exist)</t>
        </is>
      </c>
    </row>
  </sheetData>
  <dataValidations count="1">
    <dataValidation sqref="F2:F36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26" customWidth="1" min="3" max="3"/>
    <col width="48" customWidth="1" min="4" max="4"/>
    <col width="48" customWidth="1" min="5" max="5"/>
    <col width="11" customWidth="1" min="6" max="6"/>
    <col width="30" customWidth="1" min="7" max="7"/>
  </cols>
  <sheetData>
    <row r="1">
      <c r="A1" s="3" t="inlineStr">
        <is>
          <t>ID</t>
        </is>
      </c>
      <c r="B1" s="3" t="inlineStr">
        <is>
          <t>Phase</t>
        </is>
      </c>
      <c r="C1" s="3" t="inlineStr">
        <is>
          <t>Test case</t>
        </is>
      </c>
      <c r="D1" s="3" t="inlineStr">
        <is>
          <t>Steps</t>
        </is>
      </c>
      <c r="E1" s="3" t="inlineStr">
        <is>
          <t>Expected</t>
        </is>
      </c>
      <c r="F1" s="3" t="inlineStr">
        <is>
          <t>Status</t>
        </is>
      </c>
      <c r="G1" s="3" t="inlineStr">
        <is>
          <t>Notes</t>
        </is>
      </c>
    </row>
    <row r="2">
      <c r="A2" s="8" t="inlineStr">
        <is>
          <t>T1.1</t>
        </is>
      </c>
      <c r="B2" s="8" t="n">
        <v>1</v>
      </c>
      <c r="C2" s="8" t="inlineStr">
        <is>
          <t>Auth round-trip</t>
        </is>
      </c>
      <c r="D2" s="8" t="inlineStr">
        <is>
          <t>Sign up new user; log out; log back in; try wrong password; try duplicate username</t>
        </is>
      </c>
      <c r="E2" s="8" t="inlineStr">
        <is>
          <t>Login works; wrong password rejected; duplicate username → 409 message</t>
        </is>
      </c>
      <c r="F2" s="8" t="inlineStr">
        <is>
          <t>Untested</t>
        </is>
      </c>
      <c r="G2" s="8" t="inlineStr"/>
    </row>
    <row r="3">
      <c r="A3" s="9" t="inlineStr">
        <is>
          <t>T1.2</t>
        </is>
      </c>
      <c r="B3" s="9" t="n">
        <v>1</v>
      </c>
      <c r="C3" s="9" t="inlineStr">
        <is>
          <t>Workshop persistence cross-device</t>
        </is>
      </c>
      <c r="D3" s="9" t="inlineStr">
        <is>
          <t>Create workshop with full DEFINE block; reload; open in second browser profile</t>
        </is>
      </c>
      <c r="E3" s="9" t="inlineStr">
        <is>
          <t>Identical state in both; nothing lost on reload</t>
        </is>
      </c>
      <c r="F3" s="9" t="inlineStr">
        <is>
          <t>Untested</t>
        </is>
      </c>
      <c r="G3" s="9" t="inlineStr"/>
    </row>
    <row r="4">
      <c r="A4" s="8" t="inlineStr">
        <is>
          <t>T1.3</t>
        </is>
      </c>
      <c r="B4" s="8" t="n">
        <v>1</v>
      </c>
      <c r="C4" s="8" t="inlineStr">
        <is>
          <t>Two-tab conflict safety</t>
        </is>
      </c>
      <c r="D4" s="8" t="inlineStr">
        <is>
          <t>Open two tabs; edit different fields in both quickly</t>
        </is>
      </c>
      <c r="E4" s="8" t="inlineStr">
        <is>
          <t>Stale tab gets 409-handled: adopts server state, no data loss, no crash</t>
        </is>
      </c>
      <c r="F4" s="8" t="inlineStr">
        <is>
          <t>Untested</t>
        </is>
      </c>
      <c r="G4" s="8" t="inlineStr"/>
    </row>
    <row r="5">
      <c r="A5" s="9" t="inlineStr">
        <is>
          <t>T1.4</t>
        </is>
      </c>
      <c r="B5" s="9" t="n">
        <v>1</v>
      </c>
      <c r="C5" s="9" t="inlineStr">
        <is>
          <t>Timing math</t>
        </is>
      </c>
      <c r="D5" s="9" t="inlineStr">
        <is>
          <t>Add 2 sections + 6 items with durations and types</t>
        </is>
      </c>
      <c r="E5" s="9" t="inlineStr">
        <is>
          <t>Section subtotals, total, over/under-target delta, per-item clock times all correct</t>
        </is>
      </c>
      <c r="F5" s="9" t="inlineStr">
        <is>
          <t>Untested</t>
        </is>
      </c>
      <c r="G5" s="9" t="inlineStr"/>
    </row>
    <row r="6">
      <c r="A6" s="8" t="inlineStr">
        <is>
          <t>T1.5</t>
        </is>
      </c>
      <c r="B6" s="8" t="n">
        <v>1</v>
      </c>
      <c r="C6" s="8" t="inlineStr">
        <is>
          <t>Drag reorder</t>
        </is>
      </c>
      <c r="D6" s="8" t="inlineStr">
        <is>
          <t>Drag item to another section; drag a section above another; reload</t>
        </is>
      </c>
      <c r="E6" s="8" t="inlineStr">
        <is>
          <t>Order + subtotals update; section moves its block; persists</t>
        </is>
      </c>
      <c r="F6" s="8" t="inlineStr">
        <is>
          <t>Untested</t>
        </is>
      </c>
      <c r="G6" s="8" t="inlineStr"/>
    </row>
    <row r="7">
      <c r="A7" s="9" t="inlineStr">
        <is>
          <t>T1.6</t>
        </is>
      </c>
      <c r="B7" s="9" t="n">
        <v>1</v>
      </c>
      <c r="C7" s="9" t="inlineStr">
        <is>
          <t>Custom item type</t>
        </is>
      </c>
      <c r="D7" s="9" t="inlineStr">
        <is>
          <t>Add type with custom color in type manager; assign to an item</t>
        </is>
      </c>
      <c r="E7" s="9" t="inlineStr">
        <is>
          <t>Appears in dropdown; badges row with its color</t>
        </is>
      </c>
      <c r="F7" s="9" t="inlineStr">
        <is>
          <t>Untested</t>
        </is>
      </c>
      <c r="G7" s="9" t="inlineStr"/>
    </row>
    <row r="8">
      <c r="A8" s="8" t="inlineStr">
        <is>
          <t>T1.7</t>
        </is>
      </c>
      <c r="B8" s="8" t="n">
        <v>1</v>
      </c>
      <c r="C8" s="8" t="inlineStr">
        <is>
          <t>Idea bank copy semantics</t>
        </is>
      </c>
      <c r="D8" s="8" t="inlineStr">
        <is>
          <t>Search 'brainwriting'; Add to plan; then edit the bank entry</t>
        </is>
      </c>
      <c r="E8" s="8" t="inlineStr">
        <is>
          <t>Plan item pre-filled; later bank edit does NOT change the inserted item</t>
        </is>
      </c>
      <c r="F8" s="8" t="inlineStr">
        <is>
          <t>Untested</t>
        </is>
      </c>
      <c r="G8" s="8" t="inlineStr"/>
    </row>
    <row r="9">
      <c r="A9" s="9" t="inlineStr">
        <is>
          <t>T1.8</t>
        </is>
      </c>
      <c r="B9" s="9" t="n">
        <v>1</v>
      </c>
      <c r="C9" s="9" t="inlineStr">
        <is>
          <t>Pagehide flush</t>
        </is>
      </c>
      <c r="D9" s="9" t="inlineStr">
        <is>
          <t>Edit a field and immediately kill the tab (within debounce window); reopen</t>
        </is>
      </c>
      <c r="E9" s="9" t="inlineStr">
        <is>
          <t>Change survived (keepalive flush)</t>
        </is>
      </c>
      <c r="F9" s="9" t="inlineStr">
        <is>
          <t>Untested</t>
        </is>
      </c>
      <c r="G9" s="9" t="inlineStr"/>
    </row>
    <row r="10">
      <c r="A10" s="8" t="inlineStr">
        <is>
          <t>T2.1</t>
        </is>
      </c>
      <c r="B10" s="8" t="n">
        <v>2</v>
      </c>
      <c r="C10" s="8" t="inlineStr">
        <is>
          <t>Built-in templates render</t>
        </is>
      </c>
      <c r="D10" s="8" t="inlineStr">
        <is>
          <t>Preview all 13 built-in templates with sample data in editor</t>
        </is>
      </c>
      <c r="E10" s="8" t="inlineStr">
        <is>
          <t>Each renders correctly, brand fonts/colors, no console errors</t>
        </is>
      </c>
      <c r="F10" s="8" t="inlineStr">
        <is>
          <t>Untested</t>
        </is>
      </c>
      <c r="G10" s="8" t="inlineStr"/>
    </row>
    <row r="11">
      <c r="A11" s="9" t="inlineStr">
        <is>
          <t>T2.2</t>
        </is>
      </c>
      <c r="B11" s="9" t="n">
        <v>2</v>
      </c>
      <c r="C11" s="9" t="inlineStr">
        <is>
          <t>No orphan slides</t>
        </is>
      </c>
      <c r="D11" s="9" t="inlineStr">
        <is>
          <t>Create slide via item '+' and via global new-slide dialog</t>
        </is>
      </c>
      <c r="E11" s="9" t="inlineStr">
        <is>
          <t>Both paths force attachment (existing item or new item inline); orphan impossible</t>
        </is>
      </c>
      <c r="F11" s="9" t="inlineStr">
        <is>
          <t>Untested</t>
        </is>
      </c>
      <c r="G11" s="9" t="inlineStr"/>
    </row>
    <row r="12">
      <c r="A12" s="8" t="inlineStr">
        <is>
          <t>T2.3</t>
        </is>
      </c>
      <c r="B12" s="8" t="n">
        <v>2</v>
      </c>
      <c r="C12" s="8" t="inlineStr">
        <is>
          <t>Step reveals deterministic</t>
        </is>
      </c>
      <c r="D12" s="8" t="inlineStr">
        <is>
          <t>Bullets slide with 4 bullets: step through, back-arrow, jump from overview grid</t>
        </is>
      </c>
      <c r="E12" s="8" t="inlineStr">
        <is>
          <t>One bullet per keypress; back works; jump lands with correct step state</t>
        </is>
      </c>
      <c r="F12" s="8" t="inlineStr">
        <is>
          <t>Untested</t>
        </is>
      </c>
      <c r="G12" s="8" t="inlineStr"/>
    </row>
    <row r="13">
      <c r="A13" s="9" t="inlineStr">
        <is>
          <t>T2.4</t>
        </is>
      </c>
      <c r="B13" s="9" t="n">
        <v>2</v>
      </c>
      <c r="C13" s="9" t="inlineStr">
        <is>
          <t>Plan→deck sync</t>
        </is>
      </c>
      <c r="D13" s="9" t="inlineStr">
        <is>
          <t>Reorder plan items; retime an item with an instructions slide</t>
        </is>
      </c>
      <c r="E13" s="9" t="inlineStr">
        <is>
          <t>Deck order follows immediately; slide shows new duration without editing the slide</t>
        </is>
      </c>
      <c r="F13" s="9" t="inlineStr">
        <is>
          <t>Untested</t>
        </is>
      </c>
      <c r="G13" s="9" t="inlineStr"/>
    </row>
    <row r="14">
      <c r="A14" s="8" t="inlineStr">
        <is>
          <t>T2.5</t>
        </is>
      </c>
      <c r="B14" s="8" t="n">
        <v>2</v>
      </c>
      <c r="C14" s="8" t="inlineStr">
        <is>
          <t>Timer behavior</t>
        </is>
      </c>
      <c r="D14" s="8" t="inlineStr">
        <is>
          <t>Present an item with durationMin set; let it overrun; move to next item</t>
        </is>
      </c>
      <c r="E14" s="8" t="inlineStr">
        <is>
          <t>Counts down, turns red on overrun, resets on item change</t>
        </is>
      </c>
      <c r="F14" s="8" t="inlineStr">
        <is>
          <t>Untested</t>
        </is>
      </c>
      <c r="G14" s="8" t="inlineStr"/>
    </row>
    <row r="15">
      <c r="A15" s="9" t="inlineStr">
        <is>
          <t>T2.6</t>
        </is>
      </c>
      <c r="B15" s="9" t="n">
        <v>2</v>
      </c>
      <c r="C15" s="9" t="inlineStr">
        <is>
          <t>Read mode + print</t>
        </is>
      </c>
      <c r="D15" s="9" t="inlineStr">
        <is>
          <t>Toggle R; Chrome print preview; save PDF</t>
        </is>
      </c>
      <c r="E15" s="9" t="inlineStr">
        <is>
          <t>All reveals expanded, headings between groups; one slide per page, no clipping; PDF opens</t>
        </is>
      </c>
      <c r="F15" s="9" t="inlineStr">
        <is>
          <t>Untested</t>
        </is>
      </c>
      <c r="G15" s="9" t="inlineStr"/>
    </row>
    <row r="16">
      <c r="A16" s="8" t="inlineStr">
        <is>
          <t>T2.7</t>
        </is>
      </c>
      <c r="B16" s="8" t="n">
        <v>2</v>
      </c>
      <c r="C16" s="8" t="inlineStr">
        <is>
          <t>Template edit propagation</t>
        </is>
      </c>
      <c r="D16" s="8" t="inlineStr">
        <is>
          <t>Duplicate a builtin, change CSS, save; edit a template's HTML</t>
        </is>
      </c>
      <c r="E16" s="8" t="inlineStr">
        <is>
          <t>Only the copy's slides change; HTML edit re-renders all dependent slides</t>
        </is>
      </c>
      <c r="F16" s="8" t="inlineStr">
        <is>
          <t>Untested</t>
        </is>
      </c>
      <c r="G16" s="8" t="inlineStr"/>
    </row>
    <row r="17">
      <c r="A17" s="9" t="inlineStr">
        <is>
          <t>T2.8</t>
        </is>
      </c>
      <c r="B17" s="9" t="n">
        <v>2</v>
      </c>
      <c r="C17" s="9" t="inlineStr">
        <is>
          <t>Agenda auto-feed</t>
        </is>
      </c>
      <c r="D17" s="9" t="inlineStr">
        <is>
          <t>Add agenda slide; change plan sections/durations</t>
        </is>
      </c>
      <c r="E17" s="9" t="inlineStr">
        <is>
          <t>Agenda reflects live sections + subtotals on next render</t>
        </is>
      </c>
      <c r="F17" s="9" t="inlineStr">
        <is>
          <t>Untested</t>
        </is>
      </c>
      <c r="G17" s="9" t="inlineStr"/>
    </row>
    <row r="18">
      <c r="A18" s="8" t="inlineStr">
        <is>
          <t>T3.1</t>
        </is>
      </c>
      <c r="B18" s="8" t="n">
        <v>3</v>
      </c>
      <c r="C18" s="8" t="inlineStr">
        <is>
          <t>Graceful no-key state</t>
        </is>
      </c>
      <c r="D18" s="8" t="inlineStr">
        <is>
          <t>Unset ANTHROPIC_API_KEY; open generation dialog</t>
        </is>
      </c>
      <c r="E18" s="8" t="inlineStr">
        <is>
          <t>Clear 'AI unavailable' message; rest of app fully functional</t>
        </is>
      </c>
      <c r="F18" s="8" t="inlineStr">
        <is>
          <t>Untested</t>
        </is>
      </c>
      <c r="G18" s="8" t="inlineStr"/>
    </row>
    <row r="19">
      <c r="A19" s="9" t="inlineStr">
        <is>
          <t>T3.2</t>
        </is>
      </c>
      <c r="B19" s="9" t="n">
        <v>3</v>
      </c>
      <c r="C19" s="9" t="inlineStr">
        <is>
          <t>Generate slides</t>
        </is>
      </c>
      <c r="D19" s="9" t="inlineStr">
        <is>
          <t>Generate 3 slides (bullets, big-number, debrief) for a real item; once with Vietnamese content</t>
        </is>
      </c>
      <c r="E19" s="9" t="inlineStr">
        <is>
          <t>All validate against schemas, render without hand-fixing, correct language</t>
        </is>
      </c>
      <c r="F19" s="9" t="inlineStr">
        <is>
          <t>Untested</t>
        </is>
      </c>
      <c r="G19" s="9" t="inlineStr"/>
    </row>
    <row r="20">
      <c r="A20" s="8" t="inlineStr">
        <is>
          <t>T3.3</t>
        </is>
      </c>
      <c r="B20" s="8" t="n">
        <v>3</v>
      </c>
      <c r="C20" s="8" t="inlineStr">
        <is>
          <t>Regenerate with refinement</t>
        </is>
      </c>
      <c r="D20" s="8" t="inlineStr">
        <is>
          <t>Regenerate one reviewed slide with a refinement instruction; accept</t>
        </is>
      </c>
      <c r="E20" s="8" t="inlineStr">
        <is>
          <t>Only that slide changes; accepted slide attached to right item in order</t>
        </is>
      </c>
      <c r="F20" s="8" t="inlineStr">
        <is>
          <t>Untested</t>
        </is>
      </c>
      <c r="G20" s="8" t="inlineStr"/>
    </row>
    <row r="21">
      <c r="A21" s="9" t="inlineStr">
        <is>
          <t>T3.4</t>
        </is>
      </c>
      <c r="B21" s="9" t="n">
        <v>3</v>
      </c>
      <c r="C21" s="9" t="inlineStr">
        <is>
          <t>Edit-via-prompt precision</t>
        </is>
      </c>
      <c r="D21" s="9" t="inlineStr">
        <is>
          <t>Ask to change one aspect of an existing slide</t>
        </is>
      </c>
      <c r="E21" s="9" t="inlineStr">
        <is>
          <t>Exactly the requested aspect changes in fields</t>
        </is>
      </c>
      <c r="F21" s="9" t="inlineStr">
        <is>
          <t>Untested</t>
        </is>
      </c>
      <c r="G21" s="9" t="inlineStr"/>
    </row>
    <row r="22">
      <c r="A22" s="8" t="inlineStr">
        <is>
          <t>T3.5</t>
        </is>
      </c>
      <c r="B22" s="8" t="n">
        <v>3</v>
      </c>
      <c r="C22" s="8" t="inlineStr">
        <is>
          <t>Generate template</t>
        </is>
      </c>
      <c r="D22" s="8" t="inlineStr">
        <is>
          <t>Describe 'myth vs fact two-panel with reveal'</t>
        </is>
      </c>
      <c r="E22" s="8" t="inlineStr">
        <is>
          <t>Draft previews with sample data; after save usable on a new slide</t>
        </is>
      </c>
      <c r="F22" s="8" t="inlineStr">
        <is>
          <t>Untested</t>
        </is>
      </c>
      <c r="G22" s="8" t="inlineStr"/>
    </row>
    <row r="23">
      <c r="A23" s="9" t="inlineStr">
        <is>
          <t>T3.6</t>
        </is>
      </c>
      <c r="B23" s="9" t="n">
        <v>3</v>
      </c>
      <c r="C23" s="9" t="inlineStr">
        <is>
          <t>Caps + logging</t>
        </is>
      </c>
      <c r="D23" s="9" t="inlineStr">
        <is>
          <t>Set cap override to 2; make 3 calls; check /usage</t>
        </is>
      </c>
      <c r="E23" s="9" t="inlineStr">
        <is>
          <t>Third call → 429 surfaced politely; tokens logged in ai_generations; usage sums match</t>
        </is>
      </c>
      <c r="F23" s="9" t="inlineStr">
        <is>
          <t>Untested</t>
        </is>
      </c>
      <c r="G23" s="9" t="inlineStr"/>
    </row>
    <row r="24">
      <c r="A24" s="8" t="inlineStr">
        <is>
          <t>T4.1</t>
        </is>
      </c>
      <c r="B24" s="8" t="n">
        <v>4</v>
      </c>
      <c r="C24" s="8" t="inlineStr">
        <is>
          <t>Session join</t>
        </is>
      </c>
      <c r="D24" s="8" t="inlineStr">
        <is>
          <t>Start session; scan QR with a real phone</t>
        </is>
      </c>
      <c r="E24" s="8" t="inlineStr">
        <is>
          <t>Code + QR on player; phone joins without login</t>
        </is>
      </c>
      <c r="F24" s="8" t="inlineStr">
        <is>
          <t>Untested</t>
        </is>
      </c>
      <c r="G24" s="8" t="inlineStr"/>
    </row>
    <row r="25">
      <c r="A25" s="9" t="inlineStr">
        <is>
          <t>T4.2</t>
        </is>
      </c>
      <c r="B25" s="9" t="n">
        <v>4</v>
      </c>
      <c r="C25" s="9" t="inlineStr">
        <is>
          <t>Poll live round-trip</t>
        </is>
      </c>
      <c r="D25" s="9" t="inlineStr">
        <is>
          <t>Activate poll; vote; re-vote; deactivate</t>
        </is>
      </c>
      <c r="E25" s="9" t="inlineStr">
        <is>
          <t>Bar updates ≤2s; re-vote replaces (count unchanged); deactivate freezes results, phone shows waiting</t>
        </is>
      </c>
      <c r="F25" s="9" t="inlineStr">
        <is>
          <t>Untested</t>
        </is>
      </c>
      <c r="G25" s="9" t="inlineStr"/>
    </row>
    <row r="26">
      <c r="A26" s="8" t="inlineStr">
        <is>
          <t>T4.3</t>
        </is>
      </c>
      <c r="B26" s="8" t="n">
        <v>4</v>
      </c>
      <c r="C26" s="8" t="inlineStr">
        <is>
          <t>Word cloud + XSS probe</t>
        </is>
      </c>
      <c r="D26" s="8" t="inlineStr">
        <is>
          <t>3+ phones submit words; one submits '&lt;img src=x onerror=alert(1)&gt;'</t>
        </is>
      </c>
      <c r="E26" s="8" t="inlineStr">
        <is>
          <t>Cloud scales by frequency; probe renders as inert text (text nodes only)</t>
        </is>
      </c>
      <c r="F26" s="8" t="inlineStr">
        <is>
          <t>Untested</t>
        </is>
      </c>
      <c r="G26" s="8" t="inlineStr"/>
    </row>
    <row r="27">
      <c r="A27" s="9" t="inlineStr">
        <is>
          <t>T4.4</t>
        </is>
      </c>
      <c r="B27" s="9" t="n">
        <v>4</v>
      </c>
      <c r="C27" s="9" t="inlineStr">
        <is>
          <t>Quiz reveal</t>
        </is>
      </c>
      <c r="D27" s="9" t="inlineStr">
        <is>
          <t>Run quiz slide: vote, then advance to reveal step</t>
        </is>
      </c>
      <c r="E27" s="9" t="inlineStr">
        <is>
          <t>Votes hidden until reveal; reveal shows distribution + highlights correct answer</t>
        </is>
      </c>
      <c r="F27" s="9" t="inlineStr">
        <is>
          <t>Untested</t>
        </is>
      </c>
      <c r="G27" s="9" t="inlineStr"/>
    </row>
    <row r="28">
      <c r="A28" s="8" t="inlineStr">
        <is>
          <t>T4.5</t>
        </is>
      </c>
      <c r="B28" s="8" t="n">
        <v>4</v>
      </c>
      <c r="C28" s="8" t="inlineStr">
        <is>
          <t>Rating + hotspot kinds</t>
        </is>
      </c>
      <c r="D28" s="8" t="inlineStr">
        <is>
          <t>Run rating and hotspot slides end-to-end on a phone</t>
        </is>
      </c>
      <c r="E28" s="8" t="inlineStr">
        <is>
          <t>Both submit and render aggregates (avg+distribution; dot overlay)</t>
        </is>
      </c>
      <c r="F28" s="8" t="inlineStr">
        <is>
          <t>Untested</t>
        </is>
      </c>
      <c r="G28" s="8" t="inlineStr"/>
    </row>
    <row r="29">
      <c r="A29" s="9" t="inlineStr">
        <is>
          <t>T4.6</t>
        </is>
      </c>
      <c r="B29" s="9" t="n">
        <v>4</v>
      </c>
      <c r="C29" s="9" t="inlineStr">
        <is>
          <t>Snapshot isolation</t>
        </is>
      </c>
      <c r="D29" s="9" t="inlineStr">
        <is>
          <t>Edit the workshop while a session is live</t>
        </is>
      </c>
      <c r="E29" s="9" t="inlineStr">
        <is>
          <t>Live session unaffected (published snapshot)</t>
        </is>
      </c>
      <c r="F29" s="9" t="inlineStr">
        <is>
          <t>Untested</t>
        </is>
      </c>
      <c r="G29" s="9" t="inlineStr"/>
    </row>
    <row r="30">
      <c r="A30" s="8" t="inlineStr">
        <is>
          <t>T4.7</t>
        </is>
      </c>
      <c r="B30" s="8" t="n">
        <v>4</v>
      </c>
      <c r="C30" s="8" t="inlineStr">
        <is>
          <t>Load test</t>
        </is>
      </c>
      <c r="D30" s="8" t="inlineStr">
        <is>
          <t>node scripts/workshop-participant-sim.js 30</t>
        </is>
      </c>
      <c r="E30" s="8" t="inlineStr">
        <is>
          <t>Zero errors, counts correct, player stays smooth</t>
        </is>
      </c>
      <c r="F30" s="8" t="inlineStr">
        <is>
          <t>Untested</t>
        </is>
      </c>
      <c r="G30" s="8" t="inlineStr"/>
    </row>
    <row r="31">
      <c r="A31" s="9" t="inlineStr">
        <is>
          <t>T4.8</t>
        </is>
      </c>
      <c r="B31" s="9" t="n">
        <v>4</v>
      </c>
      <c r="C31" s="9" t="inlineStr">
        <is>
          <t>Session end state</t>
        </is>
      </c>
      <c r="D31" s="9" t="inlineStr">
        <is>
          <t>End session; open join page; open read mode</t>
        </is>
      </c>
      <c r="E31" s="9" t="inlineStr">
        <is>
          <t>Join page says session ended; results still visible in read mode</t>
        </is>
      </c>
      <c r="F31" s="9" t="inlineStr">
        <is>
          <t>Untested</t>
        </is>
      </c>
      <c r="G31" s="9" t="inlineStr"/>
    </row>
  </sheetData>
  <dataValidations count="1">
    <dataValidation sqref="F2:F31" showDropDown="0" showInputMessage="0" showErrorMessage="0" allowBlank="0" type="list">
      <formula1>"Untested,Pass,Fail,Blocked"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2026-07-08T04:20:47Z</dcterms:created>
  <dcterms:modified xmlns:dcterms="http://purl.org/dc/terms/" xmlns:xsi="http://www.w3.org/2001/XMLSchema-instance" xsi:type="dcterms:W3CDTF">2026-07-08T04:20:47Z</dcterms:modified>
</cp:coreProperties>
</file>